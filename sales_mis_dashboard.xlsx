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dom code\chapter 1\"/>
    </mc:Choice>
  </mc:AlternateContent>
  <xr:revisionPtr revIDLastSave="0" documentId="8_{D2DE4CC3-76E0-47D5-AE98-B63FB03BA37B}" xr6:coauthVersionLast="47" xr6:coauthVersionMax="47" xr10:uidLastSave="{00000000-0000-0000-0000-000000000000}"/>
  <bookViews>
    <workbookView xWindow="-108" yWindow="-108" windowWidth="23256" windowHeight="12456" activeTab="1" xr2:uid="{94C4E678-3923-4B2D-AC37-F0D9B8F505CC}"/>
  </bookViews>
  <sheets>
    <sheet name="Sheet1" sheetId="1" r:id="rId1"/>
    <sheet name="MIS 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<sst xmlns="http://schemas.openxmlformats.org/spreadsheetml/2006/main" count="45" uniqueCount="22">
  <si>
    <t>Region</t>
  </si>
  <si>
    <t>Product</t>
  </si>
  <si>
    <t>Sales</t>
  </si>
  <si>
    <t>Target</t>
  </si>
  <si>
    <t>Orders</t>
  </si>
  <si>
    <t>Returns</t>
  </si>
  <si>
    <t>East</t>
  </si>
  <si>
    <t>Laptop</t>
  </si>
  <si>
    <t>West</t>
  </si>
  <si>
    <t>Mobile</t>
  </si>
  <si>
    <t>North</t>
  </si>
  <si>
    <t>Headphones</t>
  </si>
  <si>
    <t>South</t>
  </si>
  <si>
    <t>ssssssssss</t>
  </si>
  <si>
    <t>Achievement %</t>
  </si>
  <si>
    <t>Return Rate</t>
  </si>
  <si>
    <t>SALES MIS DASHBOARD</t>
  </si>
  <si>
    <t>Total Sales</t>
  </si>
  <si>
    <t>Total Target</t>
  </si>
  <si>
    <t>Total Orders</t>
  </si>
  <si>
    <t>Total Returns</t>
  </si>
  <si>
    <t>Average Achievement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</si>
</sst>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168" fontId="0" fillId="0" borderId="0" xfId="0" applyNumberFormat="1"/>
    <xf numFmtId="9" fontId="0" fillId="0" borderId="0" xfId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1" applyFon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168" formatCode="0.0000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2200349956256"/>
          <c:y val="0.19486111111111112"/>
          <c:w val="0.86486351706036746"/>
          <c:h val="0.665596383785360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Sheet1!$B$2:$B$16</c:f>
              <c:strCache>
                <c:ptCount val="1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  <c:pt idx="5">
                  <c:v>West</c:v>
                </c:pt>
                <c:pt idx="6">
                  <c:v>North</c:v>
                </c:pt>
                <c:pt idx="7">
                  <c:v>South</c:v>
                </c:pt>
                <c:pt idx="8">
                  <c:v>East</c:v>
                </c:pt>
                <c:pt idx="9">
                  <c:v>West</c:v>
                </c:pt>
                <c:pt idx="10">
                  <c:v>North</c:v>
                </c:pt>
                <c:pt idx="11">
                  <c:v>South</c:v>
                </c:pt>
                <c:pt idx="12">
                  <c:v>East</c:v>
                </c:pt>
                <c:pt idx="13">
                  <c:v>West</c:v>
                </c:pt>
                <c:pt idx="14">
                  <c:v>North</c:v>
                </c:pt>
              </c:strCache>
            </c: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55000</c:v>
                </c:pt>
                <c:pt idx="1">
                  <c:v>42000</c:v>
                </c:pt>
                <c:pt idx="2">
                  <c:v>18000</c:v>
                </c:pt>
                <c:pt idx="3">
                  <c:v>68000</c:v>
                </c:pt>
                <c:pt idx="4">
                  <c:v>35000</c:v>
                </c:pt>
                <c:pt idx="5">
                  <c:v>72000</c:v>
                </c:pt>
                <c:pt idx="6">
                  <c:v>46000</c:v>
                </c:pt>
                <c:pt idx="7">
                  <c:v>22000</c:v>
                </c:pt>
                <c:pt idx="8">
                  <c:v>61000</c:v>
                </c:pt>
                <c:pt idx="9">
                  <c:v>39000</c:v>
                </c:pt>
                <c:pt idx="10">
                  <c:v>58000</c:v>
                </c:pt>
                <c:pt idx="11">
                  <c:v>48000</c:v>
                </c:pt>
                <c:pt idx="12">
                  <c:v>21000</c:v>
                </c:pt>
                <c:pt idx="13">
                  <c:v>75000</c:v>
                </c:pt>
                <c:pt idx="14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B-4CA9-93D8-6F287F5D18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711759"/>
        <c:axId val="1306874799"/>
      </c:barChart>
      <c:catAx>
        <c:axId val="94971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74799"/>
        <c:crosses val="autoZero"/>
        <c:auto val="1"/>
        <c:lblAlgn val="ctr"/>
        <c:lblOffset val="100"/>
        <c:noMultiLvlLbl val="0"/>
      </c:catAx>
      <c:valAx>
        <c:axId val="130687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1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Sheet1!$C$2:$C$16</c:f>
              <c:strCache>
                <c:ptCount val="15"/>
                <c:pt idx="0">
                  <c:v>Laptop</c:v>
                </c:pt>
                <c:pt idx="1">
                  <c:v>Mobile</c:v>
                </c:pt>
                <c:pt idx="2">
                  <c:v>Headphones</c:v>
                </c:pt>
                <c:pt idx="3">
                  <c:v>Laptop</c:v>
                </c:pt>
                <c:pt idx="4">
                  <c:v>Mobile</c:v>
                </c:pt>
                <c:pt idx="5">
                  <c:v>Laptop</c:v>
                </c:pt>
                <c:pt idx="6">
                  <c:v>Mobile</c:v>
                </c:pt>
                <c:pt idx="7">
                  <c:v>Headphones</c:v>
                </c:pt>
                <c:pt idx="8">
                  <c:v>Laptop</c:v>
                </c:pt>
                <c:pt idx="9">
                  <c:v>Mobile</c:v>
                </c:pt>
                <c:pt idx="10">
                  <c:v>Laptop</c:v>
                </c:pt>
                <c:pt idx="11">
                  <c:v>Mobile</c:v>
                </c:pt>
                <c:pt idx="12">
                  <c:v>Headphones</c:v>
                </c:pt>
                <c:pt idx="13">
                  <c:v>Laptop</c:v>
                </c:pt>
                <c:pt idx="14">
                  <c:v>Headphones</c:v>
                </c:pt>
              </c:strCache>
            </c: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55000</c:v>
                </c:pt>
                <c:pt idx="1">
                  <c:v>42000</c:v>
                </c:pt>
                <c:pt idx="2">
                  <c:v>18000</c:v>
                </c:pt>
                <c:pt idx="3">
                  <c:v>68000</c:v>
                </c:pt>
                <c:pt idx="4">
                  <c:v>35000</c:v>
                </c:pt>
                <c:pt idx="5">
                  <c:v>72000</c:v>
                </c:pt>
                <c:pt idx="6">
                  <c:v>46000</c:v>
                </c:pt>
                <c:pt idx="7">
                  <c:v>22000</c:v>
                </c:pt>
                <c:pt idx="8">
                  <c:v>61000</c:v>
                </c:pt>
                <c:pt idx="9">
                  <c:v>39000</c:v>
                </c:pt>
                <c:pt idx="10">
                  <c:v>58000</c:v>
                </c:pt>
                <c:pt idx="11">
                  <c:v>48000</c:v>
                </c:pt>
                <c:pt idx="12">
                  <c:v>21000</c:v>
                </c:pt>
                <c:pt idx="13">
                  <c:v>75000</c:v>
                </c:pt>
                <c:pt idx="14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A-4E1E-B77B-F17BBA144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77967"/>
        <c:axId val="1824979407"/>
      </c:barChart>
      <c:catAx>
        <c:axId val="182497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79407"/>
        <c:crosses val="autoZero"/>
        <c:auto val="1"/>
        <c:lblAlgn val="ctr"/>
        <c:lblOffset val="100"/>
        <c:noMultiLvlLbl val="0"/>
      </c:catAx>
      <c:valAx>
        <c:axId val="18249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7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Sheet1!$A$2:$A$16</c:f>
              <c:numCache>
                <c:formatCode>d\-mmm\-yy</c:formatCode>
                <c:ptCount val="15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55000</c:v>
                </c:pt>
                <c:pt idx="1">
                  <c:v>42000</c:v>
                </c:pt>
                <c:pt idx="2">
                  <c:v>18000</c:v>
                </c:pt>
                <c:pt idx="3">
                  <c:v>68000</c:v>
                </c:pt>
                <c:pt idx="4">
                  <c:v>35000</c:v>
                </c:pt>
                <c:pt idx="5">
                  <c:v>72000</c:v>
                </c:pt>
                <c:pt idx="6">
                  <c:v>46000</c:v>
                </c:pt>
                <c:pt idx="7">
                  <c:v>22000</c:v>
                </c:pt>
                <c:pt idx="8">
                  <c:v>61000</c:v>
                </c:pt>
                <c:pt idx="9">
                  <c:v>39000</c:v>
                </c:pt>
                <c:pt idx="10">
                  <c:v>58000</c:v>
                </c:pt>
                <c:pt idx="11">
                  <c:v>48000</c:v>
                </c:pt>
                <c:pt idx="12">
                  <c:v>21000</c:v>
                </c:pt>
                <c:pt idx="13">
                  <c:v>75000</c:v>
                </c:pt>
                <c:pt idx="14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6-4DED-84EA-DAF2CB62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871919"/>
        <c:axId val="1306872399"/>
      </c:barChart>
      <c:dateAx>
        <c:axId val="130687191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72399"/>
        <c:crosses val="autoZero"/>
        <c:auto val="1"/>
        <c:lblOffset val="100"/>
        <c:baseTimeUnit val="days"/>
      </c:dateAx>
      <c:valAx>
        <c:axId val="13068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7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0</xdr:rowOff>
    </xdr:from>
    <xdr:to>
      <xdr:col>11</xdr:col>
      <xdr:colOff>281940</xdr:colOff>
      <xdr:row>12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6AFBD-554F-415D-B786-399A69C34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388620</xdr:colOff>
      <xdr:row>0</xdr:row>
      <xdr:rowOff>0</xdr:rowOff>
    </xdr:from>
    <xdr:to>
      <xdr:col>20</xdr:col>
      <xdr:colOff>426720</xdr:colOff>
      <xdr:row>12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8399A4-8A53-44FE-9299-0D1863102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548640</xdr:colOff>
      <xdr:row>12</xdr:row>
      <xdr:rowOff>152400</xdr:rowOff>
    </xdr:from>
    <xdr:to>
      <xdr:col>15</xdr:col>
      <xdr:colOff>312420</xdr:colOff>
      <xdr:row>26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DC5FB1-5CAD-488F-9F6B-0E16BCEC5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ADEC2-1898-43F6-8C86-2BD2ED35AA9E}" name="Table1" displayName="Table1" ref="A1:I16" totalsRowShown="0">
  <autoFilter ref="A1:I16" xr:uid="{F30ADEC2-1898-43F6-8C86-2BD2ED35AA9E}"/>
  <tableColumns count="9">
    <tableColumn id="1" xr3:uid="{2C1FCA43-DCBC-4A80-8B52-9D37B10F15A1}" name="ssssssssss" dataDxfId="2"/>
    <tableColumn id="2" xr3:uid="{15A64DB8-2368-4F61-8068-00343224C3DF}" name="Region"/>
    <tableColumn id="3" xr3:uid="{D3C7C6D7-B5A1-4C86-8CA1-BB2D6AA0CC24}" name="Product"/>
    <tableColumn id="4" xr3:uid="{637FD6A4-6C28-4B87-AF71-31F6773D24DF}" name="Sales"/>
    <tableColumn id="5" xr3:uid="{13033AB9-9C66-4749-9E03-6A83420380D4}" name="Target"/>
    <tableColumn id="6" xr3:uid="{4487B527-4406-4213-9E16-5A16AC1450B9}" name="Orders"/>
    <tableColumn id="7" xr3:uid="{CC6F2503-6DE2-4C30-A9B9-84BE05C862B1}" name="Returns"/>
    <tableColumn id="8" xr3:uid="{7088C2F9-92C0-4E56-A828-B733E9BCD81C}" name="Achievement %" dataDxfId="1">
      <calculatedColumnFormula>D2/E2</calculatedColumnFormula>
    </tableColumn>
    <tableColumn id="9" xr3:uid="{EBF0B36E-D652-43D2-A481-2906809BDDF3}" name="Return Rate" dataDxfId="0">
      <calculatedColumnFormula>G2/F2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0741-AB2B-4C3D-9696-ABB3789D1E1B}">
  <dimension ref="A1:I16"/>
  <sheetViews>
    <sheetView workbookViewId="0">
      <selection activeCell="D2" activeCellId="1" sqref="A2:A16 D2:D16"/>
    </sheetView>
  </sheetViews>
  <sheetFormatPr defaultRowHeight="14.4" x14ac:dyDescent="0.3"/>
  <cols>
    <col min="1" max="1" width="9.21875" bestFit="1" customWidth="1"/>
    <col min="2" max="2" width="8.6640625" customWidth="1"/>
    <col min="3" max="3" width="9.5546875" customWidth="1"/>
    <col min="7" max="7" width="9.33203125" customWidth="1"/>
    <col min="8" max="8" width="16.33203125" bestFit="1" customWidth="1"/>
    <col min="9" max="9" width="13.109375" bestFit="1" customWidth="1"/>
  </cols>
  <sheetData>
    <row r="1" spans="1:9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</v>
      </c>
      <c r="I1" t="s">
        <v>15</v>
      </c>
    </row>
    <row r="2" spans="1:9" x14ac:dyDescent="0.3">
      <c r="A2" s="1">
        <v>46266</v>
      </c>
      <c r="B2" t="s">
        <v>6</v>
      </c>
      <c r="C2" t="s">
        <v>7</v>
      </c>
      <c r="D2">
        <v>55000</v>
      </c>
      <c r="E2">
        <v>60000</v>
      </c>
      <c r="F2">
        <v>12</v>
      </c>
      <c r="G2">
        <v>1</v>
      </c>
      <c r="H2" s="2">
        <f t="shared" ref="H2:H16" si="0">D2/E2</f>
        <v>0.91666666666666663</v>
      </c>
      <c r="I2" s="2">
        <f t="shared" ref="I2:I16" si="1">G2/F2</f>
        <v>8.3333333333333329E-2</v>
      </c>
    </row>
    <row r="3" spans="1:9" x14ac:dyDescent="0.3">
      <c r="A3" s="1">
        <v>46267</v>
      </c>
      <c r="B3" t="s">
        <v>8</v>
      </c>
      <c r="C3" t="s">
        <v>9</v>
      </c>
      <c r="D3">
        <v>42000</v>
      </c>
      <c r="E3">
        <v>40000</v>
      </c>
      <c r="F3">
        <v>18</v>
      </c>
      <c r="G3">
        <v>2</v>
      </c>
      <c r="H3" s="2">
        <f t="shared" si="0"/>
        <v>1.05</v>
      </c>
      <c r="I3">
        <f t="shared" si="1"/>
        <v>0.1111111111111111</v>
      </c>
    </row>
    <row r="4" spans="1:9" x14ac:dyDescent="0.3">
      <c r="A4" s="1">
        <v>46268</v>
      </c>
      <c r="B4" t="s">
        <v>10</v>
      </c>
      <c r="C4" t="s">
        <v>11</v>
      </c>
      <c r="D4">
        <v>18000</v>
      </c>
      <c r="E4">
        <v>20000</v>
      </c>
      <c r="F4">
        <v>15</v>
      </c>
      <c r="G4">
        <v>1</v>
      </c>
      <c r="H4" s="2">
        <f t="shared" si="0"/>
        <v>0.9</v>
      </c>
      <c r="I4">
        <f t="shared" si="1"/>
        <v>6.6666666666666666E-2</v>
      </c>
    </row>
    <row r="5" spans="1:9" x14ac:dyDescent="0.3">
      <c r="A5" s="1">
        <v>46269</v>
      </c>
      <c r="B5" t="s">
        <v>12</v>
      </c>
      <c r="C5" t="s">
        <v>7</v>
      </c>
      <c r="D5">
        <v>68000</v>
      </c>
      <c r="E5">
        <v>65000</v>
      </c>
      <c r="F5">
        <v>14</v>
      </c>
      <c r="G5">
        <v>0</v>
      </c>
      <c r="H5" s="2">
        <f t="shared" si="0"/>
        <v>1.0461538461538462</v>
      </c>
      <c r="I5">
        <f t="shared" si="1"/>
        <v>0</v>
      </c>
    </row>
    <row r="6" spans="1:9" x14ac:dyDescent="0.3">
      <c r="A6" s="1">
        <v>46270</v>
      </c>
      <c r="B6" t="s">
        <v>6</v>
      </c>
      <c r="C6" t="s">
        <v>9</v>
      </c>
      <c r="D6">
        <v>35000</v>
      </c>
      <c r="E6">
        <v>38000</v>
      </c>
      <c r="F6">
        <v>20</v>
      </c>
      <c r="G6">
        <v>3</v>
      </c>
      <c r="H6" s="2">
        <f t="shared" si="0"/>
        <v>0.92105263157894735</v>
      </c>
      <c r="I6">
        <f t="shared" si="1"/>
        <v>0.15</v>
      </c>
    </row>
    <row r="7" spans="1:9" x14ac:dyDescent="0.3">
      <c r="A7" s="1">
        <v>46271</v>
      </c>
      <c r="B7" t="s">
        <v>8</v>
      </c>
      <c r="C7" t="s">
        <v>7</v>
      </c>
      <c r="D7">
        <v>72000</v>
      </c>
      <c r="E7">
        <v>70000</v>
      </c>
      <c r="F7">
        <v>16</v>
      </c>
      <c r="G7">
        <v>1</v>
      </c>
      <c r="H7" s="2">
        <f t="shared" si="0"/>
        <v>1.0285714285714285</v>
      </c>
      <c r="I7">
        <f t="shared" si="1"/>
        <v>6.25E-2</v>
      </c>
    </row>
    <row r="8" spans="1:9" x14ac:dyDescent="0.3">
      <c r="A8" s="1">
        <v>46272</v>
      </c>
      <c r="B8" t="s">
        <v>10</v>
      </c>
      <c r="C8" t="s">
        <v>9</v>
      </c>
      <c r="D8">
        <v>46000</v>
      </c>
      <c r="E8">
        <v>45000</v>
      </c>
      <c r="F8">
        <v>21</v>
      </c>
      <c r="G8">
        <v>2</v>
      </c>
      <c r="H8" s="2">
        <f t="shared" si="0"/>
        <v>1.0222222222222221</v>
      </c>
      <c r="I8">
        <f t="shared" si="1"/>
        <v>9.5238095238095233E-2</v>
      </c>
    </row>
    <row r="9" spans="1:9" x14ac:dyDescent="0.3">
      <c r="A9" s="1">
        <v>46273</v>
      </c>
      <c r="B9" t="s">
        <v>12</v>
      </c>
      <c r="C9" t="s">
        <v>11</v>
      </c>
      <c r="D9">
        <v>22000</v>
      </c>
      <c r="E9">
        <v>20000</v>
      </c>
      <c r="F9">
        <v>17</v>
      </c>
      <c r="G9">
        <v>1</v>
      </c>
      <c r="H9" s="2">
        <f t="shared" si="0"/>
        <v>1.1000000000000001</v>
      </c>
      <c r="I9">
        <f t="shared" si="1"/>
        <v>5.8823529411764705E-2</v>
      </c>
    </row>
    <row r="10" spans="1:9" x14ac:dyDescent="0.3">
      <c r="A10" s="1">
        <v>46274</v>
      </c>
      <c r="B10" t="s">
        <v>6</v>
      </c>
      <c r="C10" t="s">
        <v>7</v>
      </c>
      <c r="D10">
        <v>61000</v>
      </c>
      <c r="E10">
        <v>60000</v>
      </c>
      <c r="F10">
        <v>13</v>
      </c>
      <c r="G10">
        <v>0</v>
      </c>
      <c r="H10" s="2">
        <f t="shared" si="0"/>
        <v>1.0166666666666666</v>
      </c>
      <c r="I10">
        <f t="shared" si="1"/>
        <v>0</v>
      </c>
    </row>
    <row r="11" spans="1:9" x14ac:dyDescent="0.3">
      <c r="A11" s="1">
        <v>46275</v>
      </c>
      <c r="B11" t="s">
        <v>8</v>
      </c>
      <c r="C11" t="s">
        <v>9</v>
      </c>
      <c r="D11">
        <v>39000</v>
      </c>
      <c r="E11">
        <v>42000</v>
      </c>
      <c r="F11">
        <v>19</v>
      </c>
      <c r="G11">
        <v>2</v>
      </c>
      <c r="H11" s="2">
        <f t="shared" si="0"/>
        <v>0.9285714285714286</v>
      </c>
      <c r="I11">
        <f t="shared" si="1"/>
        <v>0.10526315789473684</v>
      </c>
    </row>
    <row r="12" spans="1:9" x14ac:dyDescent="0.3">
      <c r="A12" s="1">
        <v>46276</v>
      </c>
      <c r="B12" t="s">
        <v>10</v>
      </c>
      <c r="C12" t="s">
        <v>7</v>
      </c>
      <c r="D12">
        <v>58000</v>
      </c>
      <c r="E12">
        <v>55000</v>
      </c>
      <c r="F12">
        <v>11</v>
      </c>
      <c r="G12">
        <v>1</v>
      </c>
      <c r="H12" s="2">
        <f t="shared" si="0"/>
        <v>1.0545454545454545</v>
      </c>
      <c r="I12">
        <f t="shared" si="1"/>
        <v>9.0909090909090912E-2</v>
      </c>
    </row>
    <row r="13" spans="1:9" x14ac:dyDescent="0.3">
      <c r="A13" s="1">
        <v>46277</v>
      </c>
      <c r="B13" t="s">
        <v>12</v>
      </c>
      <c r="C13" t="s">
        <v>9</v>
      </c>
      <c r="D13">
        <v>48000</v>
      </c>
      <c r="E13">
        <v>45000</v>
      </c>
      <c r="F13">
        <v>22</v>
      </c>
      <c r="G13">
        <v>1</v>
      </c>
      <c r="H13" s="2">
        <f t="shared" si="0"/>
        <v>1.0666666666666667</v>
      </c>
      <c r="I13">
        <f t="shared" si="1"/>
        <v>4.5454545454545456E-2</v>
      </c>
    </row>
    <row r="14" spans="1:9" x14ac:dyDescent="0.3">
      <c r="A14" s="1">
        <v>46278</v>
      </c>
      <c r="B14" t="s">
        <v>6</v>
      </c>
      <c r="C14" t="s">
        <v>11</v>
      </c>
      <c r="D14">
        <v>21000</v>
      </c>
      <c r="E14">
        <v>19000</v>
      </c>
      <c r="F14">
        <v>16</v>
      </c>
      <c r="G14">
        <v>0</v>
      </c>
      <c r="H14" s="2">
        <f t="shared" si="0"/>
        <v>1.1052631578947369</v>
      </c>
      <c r="I14">
        <f t="shared" si="1"/>
        <v>0</v>
      </c>
    </row>
    <row r="15" spans="1:9" x14ac:dyDescent="0.3">
      <c r="A15" s="1">
        <v>46279</v>
      </c>
      <c r="B15" t="s">
        <v>8</v>
      </c>
      <c r="C15" t="s">
        <v>7</v>
      </c>
      <c r="D15">
        <v>75000</v>
      </c>
      <c r="E15">
        <v>70000</v>
      </c>
      <c r="F15">
        <v>15</v>
      </c>
      <c r="G15">
        <v>1</v>
      </c>
      <c r="H15" s="2">
        <f t="shared" si="0"/>
        <v>1.0714285714285714</v>
      </c>
      <c r="I15">
        <f t="shared" si="1"/>
        <v>6.6666666666666666E-2</v>
      </c>
    </row>
    <row r="16" spans="1:9" x14ac:dyDescent="0.3">
      <c r="A16" s="1">
        <v>46280</v>
      </c>
      <c r="B16" t="s">
        <v>10</v>
      </c>
      <c r="C16" t="s">
        <v>11</v>
      </c>
      <c r="D16">
        <v>19000</v>
      </c>
      <c r="E16">
        <v>20000</v>
      </c>
      <c r="F16">
        <v>14</v>
      </c>
      <c r="G16">
        <v>2</v>
      </c>
      <c r="H16" s="2">
        <f t="shared" si="0"/>
        <v>0.95</v>
      </c>
      <c r="I16">
        <f t="shared" si="1"/>
        <v>0.14285714285714285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206B-E739-491D-96DC-99D461FBC3E3}">
  <dimension ref="A1:B8"/>
  <sheetViews>
    <sheetView tabSelected="1" workbookViewId="0">
      <selection activeCell="A17" sqref="A17"/>
    </sheetView>
  </sheetViews>
  <sheetFormatPr defaultRowHeight="14.4" x14ac:dyDescent="0.3"/>
  <cols>
    <col min="1" max="1" width="34.88671875" bestFit="1" customWidth="1"/>
  </cols>
  <sheetData>
    <row r="1" spans="1:2" ht="23.4" x14ac:dyDescent="0.45">
      <c r="A1" s="5" t="s">
        <v>16</v>
      </c>
    </row>
    <row r="3" spans="1:2" ht="18" x14ac:dyDescent="0.35">
      <c r="A3" s="4" t="s">
        <v>17</v>
      </c>
      <c r="B3" s="6">
        <f>SUM(Sheet1!D2:D16)</f>
        <v>679000</v>
      </c>
    </row>
    <row r="4" spans="1:2" ht="18" x14ac:dyDescent="0.35">
      <c r="A4" s="4" t="s">
        <v>18</v>
      </c>
      <c r="B4" s="6">
        <f>SUM(Sheet1!E2:E16)</f>
        <v>669000</v>
      </c>
    </row>
    <row r="5" spans="1:2" ht="18" x14ac:dyDescent="0.35">
      <c r="A5" s="4" t="s">
        <v>19</v>
      </c>
      <c r="B5" s="6">
        <f>SUM(Sheet1!F2:F16)</f>
        <v>243</v>
      </c>
    </row>
    <row r="6" spans="1:2" ht="18" x14ac:dyDescent="0.35">
      <c r="A6" s="4" t="s">
        <v>20</v>
      </c>
      <c r="B6" s="6">
        <f>SUM(Sheet1!G2:G16)</f>
        <v>18</v>
      </c>
    </row>
    <row r="7" spans="1:2" ht="18" x14ac:dyDescent="0.35">
      <c r="A7" s="4" t="s">
        <v>21</v>
      </c>
      <c r="B7" s="7">
        <f>AVERAGE(Sheet1!H2:H16)</f>
        <v>1.0118539160644422</v>
      </c>
    </row>
    <row r="8" spans="1:2" x14ac:dyDescent="0.3">
      <c r="B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ghosh</dc:creator>
  <cp:lastModifiedBy>riya ghosh</cp:lastModifiedBy>
  <dcterms:created xsi:type="dcterms:W3CDTF">2026-09-28T11:56:05Z</dcterms:created>
  <dcterms:modified xsi:type="dcterms:W3CDTF">2026-09-28T12:25:50Z</dcterms:modified>
</cp:coreProperties>
</file>